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C:\Users\Admin\eclipse-workspace\automation\testdata\"/>
    </mc:Choice>
  </mc:AlternateContent>
  <bookViews>
    <workbookView xWindow="0" yWindow="0" windowWidth="20490" windowHeight="7530"/>
  </bookViews>
  <sheets>
    <sheet name="EMDCalculation" sheetId="1" r:id="rId1"/>
  </sheets>
  <calcPr calcId="162913" fullCalcOnLoad="true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" l="1"/>
  <c r="D2" i="1" s="1"/>
  <c r="G2" i="1" l="1"/>
  <c r="H2" i="1" s="1"/>
  <c r="I2" i="1"/>
  <c r="E6" i="1"/>
  <c r="C6" i="1"/>
  <c r="D6" i="1" s="1"/>
  <c r="C5" i="1"/>
  <c r="G5" i="1" s="1"/>
  <c r="H5" i="1" s="1"/>
  <c r="C4" i="1"/>
  <c r="G4" i="1" s="1"/>
  <c r="H4" i="1" s="1"/>
  <c r="C3" i="1"/>
  <c r="E3" i="1" s="1"/>
  <c r="E2" i="1"/>
  <c r="J2" i="1" s="1"/>
  <c r="D5" i="1" l="1"/>
  <c r="G3" i="1"/>
  <c r="H3" i="1" s="1"/>
  <c r="I3" i="1"/>
  <c r="F5" i="1"/>
  <c r="D4" i="1"/>
  <c r="I6" i="1"/>
  <c r="G6" i="1"/>
  <c r="H6" i="1" s="1"/>
  <c r="D3" i="1"/>
  <c r="F4" i="1"/>
  <c r="J3" i="1" l="1"/>
  <c r="J5" i="1"/>
  <c r="J6" i="1"/>
  <c r="J4" i="1"/>
</calcChain>
</file>

<file path=xl/comments1.xml><?xml version="1.0" encoding="utf-8"?>
<comments xmlns="http://schemas.openxmlformats.org/spreadsheetml/2006/main">
  <authors>
    <author>Sandeep Roy</author>
  </authors>
  <commentList>
    <comment ref="J3" authorId="0" shapeId="0">
      <text>
        <r>
          <rPr>
            <b/>
            <sz val="9"/>
            <color indexed="81"/>
            <rFont val="Tahoma"/>
            <family val="2"/>
          </rPr>
          <t>Sandeep Roy: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<sst xmlns="http://schemas.openxmlformats.org/spreadsheetml/2006/main" count="22" uniqueCount="16">
  <si>
    <t>Enter Price</t>
  </si>
  <si>
    <t>Enter Qty</t>
  </si>
  <si>
    <t>Basic Price (BP)</t>
  </si>
  <si>
    <t>TDS(0.1%)</t>
  </si>
  <si>
    <t>TCS(0%)</t>
  </si>
  <si>
    <t>EMD(3%) for Gujrat</t>
  </si>
  <si>
    <t>MJ Comm(MC) 0.05%</t>
  </si>
  <si>
    <t>GST On MJ (18%)</t>
  </si>
  <si>
    <t>Amount Of Nafed (NA)4.9%</t>
  </si>
  <si>
    <t>EMD</t>
  </si>
  <si>
    <t>NA</t>
  </si>
  <si>
    <t>NAFED</t>
  </si>
  <si>
    <t>NCCF</t>
  </si>
  <si>
    <t>GUJRAT withOut MJ COMM</t>
  </si>
  <si>
    <t>GUJRAT with MJ COMM</t>
  </si>
  <si>
    <t>GUJ_Nafed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</si>
</sst>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0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theme="1"/>
      <name val="Latoregular"/>
      <charset val="1"/>
    </font>
    <font>
      <sz val="9"/>
      <color rgb="FF255BA1"/>
      <name val="Latoregular"/>
    </font>
    <font>
      <sz val="9"/>
      <color rgb="FF255BA1"/>
      <name val="Latoregular"/>
      <charset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2" borderId="1" xfId="0" applyFont="1" applyFill="1" applyBorder="1"/>
    <xf numFmtId="0" fontId="1" fillId="0" borderId="0" xfId="0" applyFont="1"/>
    <xf numFmtId="0" fontId="1" fillId="3" borderId="1" xfId="0" applyFont="1" applyFill="1" applyBorder="1" applyAlignment="1">
      <alignment horizontal="left"/>
    </xf>
    <xf numFmtId="2" fontId="1" fillId="3" borderId="1" xfId="0" applyNumberFormat="1" applyFont="1" applyFill="1" applyBorder="1" applyAlignment="1">
      <alignment horizontal="left"/>
    </xf>
    <xf numFmtId="0" fontId="3" fillId="0" borderId="0" xfId="0" applyFont="1"/>
    <xf numFmtId="0" fontId="1" fillId="4" borderId="1" xfId="0" applyFont="1" applyFill="1" applyBorder="1" applyAlignment="1">
      <alignment horizontal="left"/>
    </xf>
    <xf numFmtId="164" fontId="1" fillId="4" borderId="1" xfId="0" applyNumberFormat="1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2" fontId="1" fillId="5" borderId="1" xfId="0" applyNumberFormat="1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3" fillId="0" borderId="2" xfId="0" applyFont="1" applyBorder="1"/>
    <xf numFmtId="0" fontId="0" fillId="5" borderId="1" xfId="0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2" fontId="1" fillId="6" borderId="1" xfId="0" applyNumberFormat="1" applyFont="1" applyFill="1" applyBorder="1" applyAlignment="1">
      <alignment horizontal="left"/>
    </xf>
    <xf numFmtId="2" fontId="3" fillId="0" borderId="0" xfId="0" applyNumberFormat="1" applyFont="1"/>
    <xf numFmtId="0" fontId="4" fillId="0" borderId="0" xfId="0" applyFont="1"/>
    <xf numFmtId="2" fontId="1" fillId="0" borderId="0" xfId="0" applyNumberFormat="1" applyFont="1"/>
    <xf numFmtId="2" fontId="0" fillId="0" borderId="0" xfId="0" applyNumberFormat="1"/>
    <xf numFmtId="2" fontId="0" fillId="0" borderId="0" xfId="0" applyNumberFormat="1" applyFont="1"/>
    <xf numFmtId="2" fontId="4" fillId="0" borderId="0" xfId="0" applyNumberFormat="1" applyFont="1"/>
    <xf numFmtId="2" fontId="4" fillId="0" borderId="0" xfId="0" applyNumberFormat="1" applyFont="1" applyAlignment="1">
      <alignment vertical="top"/>
    </xf>
    <xf numFmtId="2" fontId="5" fillId="0" borderId="0" xfId="0" applyNumberFormat="1" applyFont="1"/>
    <xf numFmtId="0" fontId="6" fillId="0" borderId="0" xfId="0" applyFont="1"/>
    <xf numFmtId="2" fontId="1" fillId="0" borderId="0" xfId="0" applyNumberFormat="1" applyFont="1" applyAlignment="1">
      <alignment wrapText="1"/>
    </xf>
    <xf numFmtId="2" fontId="7" fillId="0" borderId="0" xfId="0" applyNumberFormat="1" applyFont="1"/>
    <xf numFmtId="2" fontId="6" fillId="0" borderId="0" xfId="0" applyNumberFormat="1" applyFont="1"/>
    <xf numFmtId="0" fontId="7" fillId="0" borderId="0" xfId="0" applyFont="1"/>
    <xf numFmtId="0" fontId="2" fillId="0" borderId="0" xfId="0" applyFont="1"/>
    <xf numFmtId="165" fontId="1" fillId="0" borderId="0" xfId="0" applyNumberFormat="1" applyFont="1"/>
    <xf numFmtId="0" fontId="0" fillId="0" borderId="0" xfId="0" applyAlignment="1">
      <alignment wrapText="1"/>
    </xf>
    <xf numFmtId="0" fontId="4" fillId="0" borderId="0" xfId="0" applyFont="1" applyAlignment="1">
      <alignment vertical="top"/>
    </xf>
    <xf numFmtId="0" fontId="0" fillId="0" borderId="0" xfId="0" applyFont="1"/>
    <xf numFmtId="0" fontId="1" fillId="3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9"/>
  <sheetViews>
    <sheetView tabSelected="1" workbookViewId="0">
      <selection activeCell="I14" sqref="I14"/>
    </sheetView>
  </sheetViews>
  <sheetFormatPr defaultColWidth="8.7109375" defaultRowHeight="15"/>
  <cols>
    <col min="1" max="1" customWidth="true" style="2" width="11.140625"/>
    <col min="2" max="2" customWidth="true" style="2" width="15.28515625"/>
    <col min="3" max="3" customWidth="true" style="2" width="17.5703125"/>
    <col min="4" max="4" bestFit="true" customWidth="true" style="2" width="14.42578125"/>
    <col min="5" max="5" customWidth="true" style="2" width="15.140625"/>
    <col min="6" max="6" bestFit="true" customWidth="true" style="2" width="17.42578125"/>
    <col min="7" max="7" customWidth="true" style="2" width="21.5703125"/>
    <col min="8" max="8" customWidth="true" style="2" width="18.42578125"/>
    <col min="9" max="9" customWidth="true" style="2" width="22.140625"/>
    <col min="10" max="10" customWidth="true" style="2" width="19.42578125"/>
    <col min="11" max="11" customWidth="true" style="2" width="23.7109375"/>
    <col min="12" max="16384" style="2" width="8.7109375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2">
      <c r="A2" s="34" t="n">
        <v>126.0</v>
      </c>
      <c r="B2" s="34" t="n">
        <v>100.0</v>
      </c>
      <c r="C2" s="34">
        <f>A2*B2*10</f>
        <v>125000</v>
      </c>
      <c r="D2" s="3">
        <f>C2*0.001</f>
        <v>125</v>
      </c>
      <c r="E2" s="3">
        <f>B2*0</f>
        <v>0</v>
      </c>
      <c r="F2" s="3" t="s">
        <v>10</v>
      </c>
      <c r="G2" s="3">
        <f>C2*0.0003</f>
        <v>37.5</v>
      </c>
      <c r="H2" s="3">
        <f>G2*0.18</f>
        <v>6.75</v>
      </c>
      <c r="I2" s="3">
        <f>C2*0.049</f>
        <v>6125</v>
      </c>
      <c r="J2" s="4">
        <f>(D2+E2+G2+H2+I2)*10</f>
        <v>62942.5</v>
      </c>
      <c r="K2" s="5" t="s">
        <v>11</v>
      </c>
    </row>
    <row r="3" spans="1:12">
      <c r="A3" s="6">
        <v>104</v>
      </c>
      <c r="B3" s="6">
        <v>100</v>
      </c>
      <c r="C3" s="6">
        <f>A3*B3*10</f>
        <v>104000</v>
      </c>
      <c r="D3" s="6">
        <f>C3*0.001</f>
        <v>104</v>
      </c>
      <c r="E3" s="6">
        <f>C3*0.005</f>
        <v>520</v>
      </c>
      <c r="F3" s="6" t="s">
        <v>10</v>
      </c>
      <c r="G3" s="6">
        <f>C3*0.001</f>
        <v>104</v>
      </c>
      <c r="H3" s="6">
        <f>G3*0.18</f>
        <v>18.72</v>
      </c>
      <c r="I3" s="6">
        <f>C3*0.044</f>
        <v>4576</v>
      </c>
      <c r="J3" s="7">
        <f>D3+E3+G3+H3+I3</f>
        <v>5322.72</v>
      </c>
      <c r="K3" s="5" t="s">
        <v>12</v>
      </c>
    </row>
    <row r="4" spans="1:12">
      <c r="A4" s="8">
        <v>105</v>
      </c>
      <c r="B4" s="8">
        <v>100</v>
      </c>
      <c r="C4" s="8">
        <f>A4*B4*10</f>
        <v>105000</v>
      </c>
      <c r="D4" s="8">
        <f>C4*0.001</f>
        <v>105</v>
      </c>
      <c r="E4" s="8" t="s">
        <v>10</v>
      </c>
      <c r="F4" s="9">
        <f>C4*0.03</f>
        <v>3150</v>
      </c>
      <c r="G4" s="8">
        <f>C4*0.0035</f>
        <v>367.5</v>
      </c>
      <c r="H4" s="10">
        <f>G4*0.18</f>
        <v>66.149999999999991</v>
      </c>
      <c r="I4" s="11" t="s">
        <v>10</v>
      </c>
      <c r="J4" s="10">
        <f>D4+F4</f>
        <v>3255</v>
      </c>
      <c r="K4" s="12" t="s">
        <v>13</v>
      </c>
    </row>
    <row r="5" spans="1:12">
      <c r="A5" s="8">
        <v>21</v>
      </c>
      <c r="B5" s="8">
        <v>500</v>
      </c>
      <c r="C5" s="8">
        <f>A5*B5*10</f>
        <v>105000</v>
      </c>
      <c r="D5" s="8">
        <f>C5*0.001</f>
        <v>105</v>
      </c>
      <c r="E5" s="8" t="s">
        <v>10</v>
      </c>
      <c r="F5" s="8">
        <f>C5*0.03</f>
        <v>3150</v>
      </c>
      <c r="G5" s="8">
        <f>C5*0.0005</f>
        <v>52.5</v>
      </c>
      <c r="H5" s="10">
        <f>G5*0.18</f>
        <v>9.4499999999999993</v>
      </c>
      <c r="I5" s="13" t="s">
        <v>10</v>
      </c>
      <c r="J5" s="10">
        <f>D5+F5+G5+H5</f>
        <v>3316.95</v>
      </c>
      <c r="K5" s="12" t="s">
        <v>14</v>
      </c>
    </row>
    <row r="6" spans="1:12">
      <c r="A6" s="14">
        <v>10</v>
      </c>
      <c r="B6" s="14">
        <v>200</v>
      </c>
      <c r="C6" s="14">
        <f>A6*B6*10</f>
        <v>20000</v>
      </c>
      <c r="D6" s="14">
        <f>C6*0.001</f>
        <v>20</v>
      </c>
      <c r="E6" s="14">
        <f>B6*0</f>
        <v>0</v>
      </c>
      <c r="F6" s="14" t="s">
        <v>10</v>
      </c>
      <c r="G6" s="14">
        <f>C6*0.0003</f>
        <v>5.9999999999999991</v>
      </c>
      <c r="H6" s="14">
        <f>G6*0.18</f>
        <v>1.0799999999999998</v>
      </c>
      <c r="I6" s="14">
        <f>C6*0.049</f>
        <v>980</v>
      </c>
      <c r="J6" s="15">
        <f>D6+E6+G6+H6+I6</f>
        <v>1007.08</v>
      </c>
      <c r="K6" s="16" t="s">
        <v>15</v>
      </c>
    </row>
    <row r="7" spans="1:12">
      <c r="H7" s="17"/>
      <c r="I7" s="18"/>
      <c r="K7" s="19"/>
    </row>
    <row r="8" spans="1:12">
      <c r="H8" s="17"/>
      <c r="I8" s="18"/>
      <c r="K8" s="19"/>
    </row>
    <row r="9" spans="1:12">
      <c r="G9" s="20"/>
      <c r="H9" s="21"/>
      <c r="I9" s="18"/>
      <c r="K9" s="19"/>
    </row>
    <row r="10" spans="1:12">
      <c r="E10" s="22"/>
      <c r="F10" s="22"/>
      <c r="G10" s="18"/>
      <c r="H10" s="22"/>
      <c r="I10" s="23"/>
      <c r="J10" s="19"/>
      <c r="K10" s="18"/>
    </row>
    <row r="11" spans="1:12">
      <c r="E11" s="19"/>
      <c r="F11" s="19"/>
      <c r="G11" s="24"/>
      <c r="H11" s="25"/>
      <c r="I11" s="26"/>
      <c r="J11" s="18"/>
    </row>
    <row r="12" spans="1:12">
      <c r="E12" s="18"/>
      <c r="F12" s="20"/>
      <c r="G12" s="24"/>
      <c r="H12" s="27"/>
      <c r="I12" s="27"/>
      <c r="J12" s="18"/>
    </row>
    <row r="13" spans="1:12">
      <c r="E13" s="18"/>
      <c r="F13" s="18"/>
      <c r="G13" s="28"/>
      <c r="H13" s="24"/>
      <c r="I13" s="18"/>
      <c r="J13" s="18"/>
      <c r="L13" s="29"/>
    </row>
    <row r="14" spans="1:12">
      <c r="E14" s="19"/>
      <c r="F14" s="19"/>
      <c r="I14" s="18"/>
      <c r="J14" s="30"/>
    </row>
    <row r="15" spans="1:12">
      <c r="D15" s="19"/>
      <c r="E15" s="19"/>
      <c r="F15" s="19"/>
      <c r="G15" s="18"/>
      <c r="I15" s="18"/>
      <c r="J15" s="18"/>
    </row>
    <row r="16" spans="1:12">
      <c r="A16" s="31"/>
      <c r="H16" s="28"/>
      <c r="I16" s="26"/>
      <c r="J16" s="30"/>
      <c r="K16" s="32"/>
      <c r="L16" s="32"/>
    </row>
    <row r="17" spans="2:11">
      <c r="B17" s="33"/>
      <c r="C17" s="33"/>
      <c r="G17" s="18"/>
      <c r="H17" s="26"/>
      <c r="I17" s="18"/>
      <c r="J17" s="30"/>
      <c r="K17" s="30"/>
    </row>
    <row r="18" spans="2:11">
      <c r="B18" s="33"/>
      <c r="H18" s="24"/>
      <c r="I18" s="27"/>
    </row>
    <row r="19" spans="2:11">
      <c r="B19" s="33"/>
      <c r="H19" s="24"/>
      <c r="I19" s="18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EMDCalculation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2026-03-09T10:34:40Z</dcterms:created>
  <dc:creator>Admin</dc:creator>
  <cp:lastModifiedBy>Admin</cp:lastModifiedBy>
  <dcterms:modified xsi:type="dcterms:W3CDTF">2026-03-16T10:05:25Z</dcterms:modified>
</cp:coreProperties>
</file>